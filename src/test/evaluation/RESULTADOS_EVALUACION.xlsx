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stadístico" sheetId="1" state="visible" r:id="rId1"/>
    <sheet name="Datos" sheetId="2" state="visible" r:id="rId2"/>
    <sheet name="Gráfico Calidad &amp; Efici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2" fontId="0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Evaluación: Calidad (% OK) vs Eficiencia (Tiempo &amp; Coste)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'Gráfico Calidad &amp; Eficiencia'!H1</f>
            </strRef>
          </tx>
          <spPr>
            <a:ln>
              <a:prstDash val="solid"/>
            </a:ln>
          </spPr>
          <cat>
            <numRef>
              <f>'Gráfico Calidad &amp; Eficiencia'!$A$2:$B$10</f>
            </numRef>
          </cat>
          <val>
            <numRef>
              <f>'Gráfico Calidad &amp; Eficiencia'!$H$2:$H$10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'Gráfico Calidad &amp; Eficiencia'!F1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'Gráfico Calidad &amp; Eficiencia'!$F$2:$F$10</f>
            </numRef>
          </val>
        </ser>
        <ser>
          <idx val="2"/>
          <order val="2"/>
          <tx>
            <strRef>
              <f>'Gráfico Calidad &amp; Eficiencia'!G1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'Gráfico Calidad &amp; Eficiencia'!$G$2:$G$10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Caso de Uso - Idioma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OK &amp; Tiempo (segundos)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Evaluacion" displayName="DatosEvaluacion" ref="A1:H10" headerRowCount="1">
  <autoFilter ref="A1:H10"/>
  <tableColumns count="8">
    <tableColumn id="1" name="Caso de Uso"/>
    <tableColumn id="2" name="Idioma"/>
    <tableColumn id="3" name="Nº preguntas"/>
    <tableColumn id="4" name="OK"/>
    <tableColumn id="5" name="KO"/>
    <tableColumn id="6" name="Tiempo medio (segundos)"/>
    <tableColumn id="7" name="Coste medio (USD)"/>
    <tableColumn id="8" name="% 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RESUMEN ESTADÍSTICO</t>
        </is>
      </c>
    </row>
    <row r="3">
      <c r="A3" s="2" t="inlineStr">
        <is>
          <t>Métrica</t>
        </is>
      </c>
      <c r="B3" s="2" t="inlineStr">
        <is>
          <t>Mínimo</t>
        </is>
      </c>
      <c r="C3" s="2" t="inlineStr">
        <is>
          <t>Máximo</t>
        </is>
      </c>
      <c r="D3" s="2" t="inlineStr">
        <is>
          <t>Promedio</t>
        </is>
      </c>
    </row>
    <row r="4">
      <c r="A4" s="3" t="inlineStr">
        <is>
          <t>% OK</t>
        </is>
      </c>
      <c r="B4" s="4">
        <f>MIN(Datos!H2:H10)</f>
        <v/>
      </c>
      <c r="C4" s="4">
        <f>MAX(Datos!H2:H10)</f>
        <v/>
      </c>
      <c r="D4" s="4">
        <f>AVERAGE(Datos!H2:H10)</f>
        <v/>
      </c>
    </row>
    <row r="5">
      <c r="A5" s="3" t="inlineStr">
        <is>
          <t>Tiempo (seg)</t>
        </is>
      </c>
      <c r="B5" s="4">
        <f>MIN(Datos!F2:F10)</f>
        <v/>
      </c>
      <c r="C5" s="4">
        <f>MAX(Datos!F2:F10)</f>
        <v/>
      </c>
      <c r="D5" s="4">
        <f>AVERAGE(Datos!F2:F10)</f>
        <v/>
      </c>
    </row>
    <row r="6">
      <c r="A6" s="3" t="inlineStr">
        <is>
          <t>Coste (USD)</t>
        </is>
      </c>
      <c r="B6" s="4">
        <f>MIN(Datos!G2:G10)</f>
        <v/>
      </c>
      <c r="C6" s="4">
        <f>MAX(Datos!G2:G10)</f>
        <v/>
      </c>
      <c r="D6" s="4">
        <f>AVERAGE(Datos!G2:G10)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8" customWidth="1" min="4" max="4"/>
    <col width="8" customWidth="1" min="5" max="5"/>
    <col width="25" customWidth="1" min="6" max="6"/>
    <col width="20" customWidth="1" min="7" max="7"/>
    <col width="12" customWidth="1" min="8" max="8"/>
  </cols>
  <sheetData>
    <row r="1">
      <c r="A1" s="5" t="inlineStr">
        <is>
          <t>Caso de Uso</t>
        </is>
      </c>
      <c r="B1" s="5" t="inlineStr">
        <is>
          <t>Idioma</t>
        </is>
      </c>
      <c r="C1" s="5" t="inlineStr">
        <is>
          <t>Nº preguntas</t>
        </is>
      </c>
      <c r="D1" s="5" t="inlineStr">
        <is>
          <t>OK</t>
        </is>
      </c>
      <c r="E1" s="5" t="inlineStr">
        <is>
          <t>KO</t>
        </is>
      </c>
      <c r="F1" s="5" t="inlineStr">
        <is>
          <t>Tiempo medio (segundos)</t>
        </is>
      </c>
      <c r="G1" s="5" t="inlineStr">
        <is>
          <t>Coste medio (USD)</t>
        </is>
      </c>
      <c r="H1" s="5" t="inlineStr">
        <is>
          <t>% OK</t>
        </is>
      </c>
    </row>
    <row r="2">
      <c r="A2" s="6" t="inlineStr">
        <is>
          <t>CVs</t>
        </is>
      </c>
      <c r="B2" s="6" t="inlineStr">
        <is>
          <t>EN</t>
        </is>
      </c>
      <c r="C2" s="6" t="n">
        <v>86</v>
      </c>
      <c r="D2" s="6" t="n">
        <v>64</v>
      </c>
      <c r="E2" s="6" t="n">
        <v>22</v>
      </c>
      <c r="F2" s="7" t="n">
        <v>65.462</v>
      </c>
      <c r="G2" s="8" t="n">
        <v>0.05374904</v>
      </c>
      <c r="H2" s="9" t="n">
        <v>0.744</v>
      </c>
    </row>
    <row r="3">
      <c r="A3" s="6" t="inlineStr">
        <is>
          <t>CVs</t>
        </is>
      </c>
      <c r="B3" s="6" t="inlineStr">
        <is>
          <t>ES</t>
        </is>
      </c>
      <c r="C3" s="6" t="n">
        <v>86</v>
      </c>
      <c r="D3" s="6" t="n">
        <v>37</v>
      </c>
      <c r="E3" s="6" t="n">
        <v>49</v>
      </c>
      <c r="F3" s="7" t="n">
        <v>36.52</v>
      </c>
      <c r="G3" s="8" t="n">
        <v>0.0050176</v>
      </c>
      <c r="H3" s="9" t="n">
        <v>0.43</v>
      </c>
    </row>
    <row r="4">
      <c r="A4" s="6" t="inlineStr">
        <is>
          <t>Wikipedia</t>
        </is>
      </c>
      <c r="B4" s="6" t="inlineStr">
        <is>
          <t>EN</t>
        </is>
      </c>
      <c r="C4" s="6" t="n">
        <v>100</v>
      </c>
      <c r="D4" s="6" t="n">
        <v>82</v>
      </c>
      <c r="E4" s="6" t="n">
        <v>18</v>
      </c>
      <c r="F4" s="7" t="n">
        <v>16.94</v>
      </c>
      <c r="G4" s="8" t="n">
        <v>0.00932473</v>
      </c>
      <c r="H4" s="9" t="n">
        <v>0.82</v>
      </c>
    </row>
    <row r="5">
      <c r="A5" s="6" t="inlineStr">
        <is>
          <t>Wikipedia</t>
        </is>
      </c>
      <c r="B5" s="6" t="inlineStr">
        <is>
          <t>ES</t>
        </is>
      </c>
      <c r="C5" s="6" t="n">
        <v>100</v>
      </c>
      <c r="D5" s="6" t="n">
        <v>78</v>
      </c>
      <c r="E5" s="6" t="n">
        <v>22</v>
      </c>
      <c r="F5" s="7" t="n">
        <v>25.077</v>
      </c>
      <c r="G5" s="8" t="n">
        <v>0.01010362</v>
      </c>
      <c r="H5" s="9" t="n">
        <v>0.78</v>
      </c>
    </row>
    <row r="6">
      <c r="A6" s="6" t="inlineStr">
        <is>
          <t>EU</t>
        </is>
      </c>
      <c r="B6" s="6" t="inlineStr">
        <is>
          <t>EN</t>
        </is>
      </c>
      <c r="C6" s="6" t="n">
        <v>98</v>
      </c>
      <c r="D6" s="6" t="n">
        <v>60</v>
      </c>
      <c r="E6" s="6" t="n">
        <v>38</v>
      </c>
      <c r="F6" s="7" t="n">
        <v>30.346</v>
      </c>
      <c r="G6" s="8" t="n">
        <v>0.00630499</v>
      </c>
      <c r="H6" s="9" t="n">
        <v>0.612</v>
      </c>
    </row>
    <row r="7">
      <c r="A7" s="6" t="inlineStr">
        <is>
          <t>EU</t>
        </is>
      </c>
      <c r="B7" s="6" t="inlineStr">
        <is>
          <t>ES</t>
        </is>
      </c>
      <c r="C7" s="6" t="n">
        <v>91</v>
      </c>
      <c r="D7" s="6" t="n">
        <v>47</v>
      </c>
      <c r="E7" s="6" t="n">
        <v>44</v>
      </c>
      <c r="F7" s="7" t="n">
        <v>28.217</v>
      </c>
      <c r="G7" s="8" t="n">
        <v>0.00566158</v>
      </c>
      <c r="H7" s="9" t="n">
        <v>0.516</v>
      </c>
    </row>
    <row r="8">
      <c r="A8" s="6" t="inlineStr">
        <is>
          <t>EU</t>
        </is>
      </c>
      <c r="B8" s="6" t="inlineStr">
        <is>
          <t>FR</t>
        </is>
      </c>
      <c r="C8" s="6" t="n">
        <v>98</v>
      </c>
      <c r="D8" s="6" t="n">
        <v>54</v>
      </c>
      <c r="E8" s="6" t="n">
        <v>44</v>
      </c>
      <c r="F8" s="7" t="n">
        <v>30.513</v>
      </c>
      <c r="G8" s="8" t="n">
        <v>0.00668518</v>
      </c>
      <c r="H8" s="9" t="n">
        <v>0.551</v>
      </c>
    </row>
    <row r="9">
      <c r="A9" s="6" t="inlineStr">
        <is>
          <t>EU</t>
        </is>
      </c>
      <c r="B9" s="6" t="inlineStr">
        <is>
          <t>IT</t>
        </is>
      </c>
      <c r="C9" s="6" t="n">
        <v>99</v>
      </c>
      <c r="D9" s="6" t="n">
        <v>56</v>
      </c>
      <c r="E9" s="6" t="n">
        <v>43</v>
      </c>
      <c r="F9" s="7" t="n">
        <v>32.083</v>
      </c>
      <c r="G9" s="8" t="n">
        <v>0.0068847</v>
      </c>
      <c r="H9" s="9" t="n">
        <v>0.5659999999999999</v>
      </c>
    </row>
    <row r="10">
      <c r="A10" s="6" t="inlineStr">
        <is>
          <t>EU</t>
        </is>
      </c>
      <c r="B10" s="6" t="inlineStr">
        <is>
          <t>PT</t>
        </is>
      </c>
      <c r="C10" s="6" t="n">
        <v>91</v>
      </c>
      <c r="D10" s="6" t="n">
        <v>54</v>
      </c>
      <c r="E10" s="6" t="n">
        <v>37</v>
      </c>
      <c r="F10" s="7" t="n">
        <v>31.062</v>
      </c>
      <c r="G10" s="8" t="n"/>
      <c r="H10" s="9" t="n">
        <v>0.593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Uso</t>
        </is>
      </c>
      <c r="B1" t="inlineStr">
        <is>
          <t>Idioma</t>
        </is>
      </c>
      <c r="C1" t="inlineStr">
        <is>
          <t>Nº preguntas</t>
        </is>
      </c>
      <c r="D1" t="inlineStr">
        <is>
          <t>OK</t>
        </is>
      </c>
      <c r="E1" t="inlineStr">
        <is>
          <t>KO</t>
        </is>
      </c>
      <c r="F1" t="inlineStr">
        <is>
          <t>Tiempo medio (segundos)</t>
        </is>
      </c>
      <c r="G1" t="inlineStr">
        <is>
          <t>Coste medio (USD)</t>
        </is>
      </c>
      <c r="H1" t="inlineStr">
        <is>
          <t>% OK</t>
        </is>
      </c>
    </row>
    <row r="2">
      <c r="A2" t="inlineStr">
        <is>
          <t>CVs</t>
        </is>
      </c>
      <c r="B2" t="inlineStr">
        <is>
          <t>EN</t>
        </is>
      </c>
      <c r="C2" t="n">
        <v>86</v>
      </c>
      <c r="D2" t="n">
        <v>64</v>
      </c>
      <c r="E2" t="n">
        <v>22</v>
      </c>
      <c r="F2" t="n">
        <v>65.462</v>
      </c>
      <c r="G2" t="n">
        <v>0.05374904</v>
      </c>
      <c r="H2" t="n">
        <v>0.744</v>
      </c>
    </row>
    <row r="3">
      <c r="A3" t="inlineStr">
        <is>
          <t>CVs</t>
        </is>
      </c>
      <c r="B3" t="inlineStr">
        <is>
          <t>ES</t>
        </is>
      </c>
      <c r="C3" t="n">
        <v>86</v>
      </c>
      <c r="D3" t="n">
        <v>37</v>
      </c>
      <c r="E3" t="n">
        <v>49</v>
      </c>
      <c r="F3" t="n">
        <v>36.52</v>
      </c>
      <c r="G3" t="n">
        <v>0.0050176</v>
      </c>
      <c r="H3" t="n">
        <v>0.43</v>
      </c>
    </row>
    <row r="4">
      <c r="A4" t="inlineStr">
        <is>
          <t>Wikipedia</t>
        </is>
      </c>
      <c r="B4" t="inlineStr">
        <is>
          <t>EN</t>
        </is>
      </c>
      <c r="C4" t="n">
        <v>100</v>
      </c>
      <c r="D4" t="n">
        <v>82</v>
      </c>
      <c r="E4" t="n">
        <v>18</v>
      </c>
      <c r="F4" t="n">
        <v>16.94</v>
      </c>
      <c r="G4" t="n">
        <v>0.00932473</v>
      </c>
      <c r="H4" t="n">
        <v>0.82</v>
      </c>
    </row>
    <row r="5">
      <c r="A5" t="inlineStr">
        <is>
          <t>Wikipedia</t>
        </is>
      </c>
      <c r="B5" t="inlineStr">
        <is>
          <t>ES</t>
        </is>
      </c>
      <c r="C5" t="n">
        <v>100</v>
      </c>
      <c r="D5" t="n">
        <v>78</v>
      </c>
      <c r="E5" t="n">
        <v>22</v>
      </c>
      <c r="F5" t="n">
        <v>25.077</v>
      </c>
      <c r="G5" t="n">
        <v>0.01010362</v>
      </c>
      <c r="H5" t="n">
        <v>0.78</v>
      </c>
    </row>
    <row r="6">
      <c r="A6" t="inlineStr">
        <is>
          <t>EU</t>
        </is>
      </c>
      <c r="B6" t="inlineStr">
        <is>
          <t>EN</t>
        </is>
      </c>
      <c r="C6" t="n">
        <v>98</v>
      </c>
      <c r="D6" t="n">
        <v>60</v>
      </c>
      <c r="E6" t="n">
        <v>38</v>
      </c>
      <c r="F6" t="n">
        <v>30.346</v>
      </c>
      <c r="G6" t="n">
        <v>0.00630499</v>
      </c>
      <c r="H6" t="n">
        <v>0.612</v>
      </c>
    </row>
    <row r="7">
      <c r="A7" t="inlineStr">
        <is>
          <t>EU</t>
        </is>
      </c>
      <c r="B7" t="inlineStr">
        <is>
          <t>ES</t>
        </is>
      </c>
      <c r="C7" t="n">
        <v>91</v>
      </c>
      <c r="D7" t="n">
        <v>47</v>
      </c>
      <c r="E7" t="n">
        <v>44</v>
      </c>
      <c r="F7" t="n">
        <v>28.217</v>
      </c>
      <c r="G7" t="n">
        <v>0.00566158</v>
      </c>
      <c r="H7" t="n">
        <v>0.516</v>
      </c>
    </row>
    <row r="8">
      <c r="A8" t="inlineStr">
        <is>
          <t>EU</t>
        </is>
      </c>
      <c r="B8" t="inlineStr">
        <is>
          <t>FR</t>
        </is>
      </c>
      <c r="C8" t="n">
        <v>98</v>
      </c>
      <c r="D8" t="n">
        <v>54</v>
      </c>
      <c r="E8" t="n">
        <v>44</v>
      </c>
      <c r="F8" t="n">
        <v>30.513</v>
      </c>
      <c r="G8" t="n">
        <v>0.00668518</v>
      </c>
      <c r="H8" t="n">
        <v>0.551</v>
      </c>
    </row>
    <row r="9">
      <c r="A9" t="inlineStr">
        <is>
          <t>EU</t>
        </is>
      </c>
      <c r="B9" t="inlineStr">
        <is>
          <t>IT</t>
        </is>
      </c>
      <c r="C9" t="n">
        <v>99</v>
      </c>
      <c r="D9" t="n">
        <v>56</v>
      </c>
      <c r="E9" t="n">
        <v>43</v>
      </c>
      <c r="F9" t="n">
        <v>32.083</v>
      </c>
      <c r="G9" t="n">
        <v>0.0068847</v>
      </c>
      <c r="H9" t="n">
        <v>0.5659999999999999</v>
      </c>
    </row>
    <row r="10">
      <c r="A10" t="inlineStr">
        <is>
          <t>EU</t>
        </is>
      </c>
      <c r="B10" t="inlineStr">
        <is>
          <t>PT</t>
        </is>
      </c>
      <c r="C10" t="n">
        <v>91</v>
      </c>
      <c r="D10" t="n">
        <v>54</v>
      </c>
      <c r="E10" t="n">
        <v>37</v>
      </c>
      <c r="F10" t="n">
        <v>31.062</v>
      </c>
      <c r="H10" t="n">
        <v>0.593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2026-05-21T09:14:32Z</dcterms:created>
  <dcterms:modified xsi:type="dcterms:W3CDTF">2026-05-21T09:14:32Z</dcterms:modified>
</cp:coreProperties>
</file>